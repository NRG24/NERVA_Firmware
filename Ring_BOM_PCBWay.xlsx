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540" tabRatio="600" firstSheet="0" activeTab="0" autoFilterDateGrouping="1"/>
  </bookViews>
  <sheets>
    <sheet name="Sheet1" sheetId="1" state="visible" r:id="rId1"/>
    <sheet name="Sheet2" sheetId="2" state="visible" r:id="rId2"/>
    <sheet name="Sheet3" sheetId="3" state="visible" r:id="rId3"/>
  </sheets>
  <definedNames/>
  <calcPr calcId="144525" fullCalcOnLoad="1"/>
</workbook>
</file>

<file path=xl/styles.xml><?xml version="1.0" encoding="utf-8"?>
<styleSheet xmlns="http://schemas.openxmlformats.org/spreadsheetml/2006/main">
  <numFmts count="0"/>
  <fonts count="32">
    <font>
      <name val="宋体"/>
      <charset val="134"/>
      <color theme="1"/>
      <sz val="11"/>
      <scheme val="minor"/>
    </font>
    <font>
      <name val="Arial"/>
      <charset val="134"/>
      <color theme="1"/>
      <sz val="11"/>
    </font>
    <font>
      <name val="宋体"/>
      <charset val="134"/>
      <color rgb="FF800080"/>
      <sz val="11"/>
      <u val="single"/>
    </font>
    <font>
      <name val="Arial"/>
      <charset val="134"/>
      <b val="1"/>
      <color theme="1"/>
      <sz val="11"/>
    </font>
    <font>
      <name val="Arial"/>
      <charset val="134"/>
      <b val="1"/>
      <sz val="10"/>
    </font>
    <font>
      <name val="Arial"/>
      <charset val="134"/>
      <b val="1"/>
      <color rgb="FFFF0000"/>
      <sz val="10"/>
    </font>
    <font>
      <name val="Arial"/>
      <charset val="134"/>
      <sz val="10"/>
    </font>
    <font>
      <name val="宋体"/>
      <charset val="134"/>
      <color theme="10"/>
      <sz val="11"/>
      <u val="single"/>
    </font>
    <font>
      <name val="宋体"/>
      <charset val="0"/>
      <color theme="1"/>
      <sz val="11"/>
      <scheme val="minor"/>
    </font>
    <font>
      <name val="宋体"/>
      <charset val="0"/>
      <b val="1"/>
      <color rgb="FFFFFFFF"/>
      <sz val="11"/>
      <scheme val="minor"/>
    </font>
    <font>
      <name val="宋体"/>
      <charset val="134"/>
      <b val="1"/>
      <color theme="3"/>
      <sz val="13"/>
      <scheme val="minor"/>
    </font>
    <font>
      <name val="宋体"/>
      <charset val="0"/>
      <color rgb="FFFF0000"/>
      <sz val="11"/>
      <scheme val="minor"/>
    </font>
    <font>
      <name val="宋体"/>
      <charset val="0"/>
      <i val="1"/>
      <color rgb="FF7F7F7F"/>
      <sz val="11"/>
      <scheme val="minor"/>
    </font>
    <font>
      <name val="宋体"/>
      <charset val="134"/>
      <b val="1"/>
      <color theme="3"/>
      <sz val="11"/>
      <scheme val="minor"/>
    </font>
    <font>
      <name val="宋体"/>
      <charset val="0"/>
      <color rgb="FF800080"/>
      <sz val="11"/>
      <u val="single"/>
      <scheme val="minor"/>
    </font>
    <font>
      <name val="宋体"/>
      <charset val="0"/>
      <color rgb="FF9C0006"/>
      <sz val="11"/>
      <scheme val="minor"/>
    </font>
    <font>
      <name val="宋体"/>
      <charset val="0"/>
      <color theme="0"/>
      <sz val="11"/>
      <scheme val="minor"/>
    </font>
    <font>
      <name val="宋体"/>
      <charset val="0"/>
      <b val="1"/>
      <color rgb="FF3F3F3F"/>
      <sz val="11"/>
      <scheme val="minor"/>
    </font>
    <font>
      <name val="宋体"/>
      <charset val="134"/>
      <b val="1"/>
      <color theme="3"/>
      <sz val="15"/>
      <scheme val="minor"/>
    </font>
    <font>
      <name val="宋体"/>
      <charset val="0"/>
      <b val="1"/>
      <color theme="1"/>
      <sz val="11"/>
      <scheme val="minor"/>
    </font>
    <font>
      <name val="宋体"/>
      <charset val="134"/>
      <b val="1"/>
      <color theme="3"/>
      <sz val="18"/>
      <scheme val="minor"/>
    </font>
    <font>
      <name val="宋体"/>
      <charset val="0"/>
      <color rgb="FF9C6500"/>
      <sz val="11"/>
      <scheme val="minor"/>
    </font>
    <font>
      <name val="宋体"/>
      <charset val="0"/>
      <color rgb="FF3F3F76"/>
      <sz val="11"/>
      <scheme val="minor"/>
    </font>
    <font>
      <name val="宋体"/>
      <charset val="0"/>
      <b val="1"/>
      <color rgb="FFFA7D00"/>
      <sz val="11"/>
      <scheme val="minor"/>
    </font>
    <font>
      <name val="宋体"/>
      <charset val="0"/>
      <color rgb="FFFA7D00"/>
      <sz val="11"/>
      <scheme val="minor"/>
    </font>
    <font>
      <name val="宋体"/>
      <charset val="0"/>
      <color rgb="FF006100"/>
      <sz val="11"/>
      <scheme val="minor"/>
    </font>
    <font>
      <name val="Arial"/>
      <b val="1"/>
      <sz val="10"/>
    </font>
    <font>
      <name val="Arial"/>
      <sz val="11"/>
    </font>
    <font>
      <name val="Arial"/>
      <i val="1"/>
      <color rgb="FF9C0006"/>
      <sz val="10"/>
    </font>
    <font>
      <name val="Arial"/>
      <i val="1"/>
      <sz val="10"/>
    </font>
    <font>
      <name val="Arial"/>
      <b val="1"/>
      <sz val="11"/>
    </font>
    <font>
      <name val="Arial"/>
      <sz val="10"/>
    </font>
  </fonts>
  <fills count="38">
    <fill>
      <patternFill/>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8"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rgb="FFFFC7CE"/>
        <bgColor indexed="64"/>
      </patternFill>
    </fill>
    <fill>
      <patternFill patternType="solid">
        <fgColor theme="8"/>
        <bgColor indexed="64"/>
      </patternFill>
    </fill>
    <fill>
      <patternFill patternType="solid">
        <fgColor theme="6"/>
        <bgColor indexed="64"/>
      </patternFill>
    </fill>
    <fill>
      <patternFill patternType="solid">
        <fgColor theme="4"/>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7"/>
        <bgColor indexed="64"/>
      </patternFill>
    </fill>
    <fill>
      <patternFill patternType="solid">
        <fgColor theme="5"/>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rgb="FFFFCC99"/>
        <bgColor indexed="64"/>
      </patternFill>
    </fill>
    <fill>
      <patternFill patternType="solid">
        <fgColor theme="4" tint="0.799981688894314"/>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C6EFCE"/>
        <bgColor indexed="64"/>
      </patternFill>
    </fill>
    <fill>
      <patternFill patternType="solid">
        <fgColor theme="9" tint="0.799981688894314"/>
        <bgColor indexed="64"/>
      </patternFill>
    </fill>
    <fill>
      <patternFill patternType="solid">
        <fgColor rgb="FFFFFF00"/>
      </patternFill>
    </fill>
    <fill>
      <patternFill patternType="solid">
        <fgColor rgb="FFFFC7CE"/>
      </patternFill>
    </fill>
    <fill>
      <patternFill patternType="solid">
        <fgColor rgb="FFFFF2CC"/>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49">
    <xf numFmtId="0" fontId="0" fillId="0" borderId="0" applyAlignment="1">
      <alignment vertical="center"/>
    </xf>
    <xf numFmtId="42" fontId="0" fillId="0" borderId="0" applyAlignment="1">
      <alignment vertical="center"/>
    </xf>
    <xf numFmtId="0" fontId="8" fillId="27" borderId="0" applyAlignment="1">
      <alignment vertical="center"/>
    </xf>
    <xf numFmtId="0" fontId="22" fillId="24" borderId="8" applyAlignment="1">
      <alignment vertical="center"/>
    </xf>
    <xf numFmtId="44" fontId="0" fillId="0" borderId="0" applyAlignment="1">
      <alignment vertical="center"/>
    </xf>
    <xf numFmtId="41" fontId="0" fillId="0" borderId="0" applyAlignment="1">
      <alignment vertical="center"/>
    </xf>
    <xf numFmtId="0" fontId="8" fillId="7" borderId="0" applyAlignment="1">
      <alignment vertical="center"/>
    </xf>
    <xf numFmtId="0" fontId="15" fillId="11" borderId="0" applyAlignment="1">
      <alignment vertical="center"/>
    </xf>
    <xf numFmtId="43" fontId="0" fillId="0" borderId="0" applyAlignment="1">
      <alignment vertical="center"/>
    </xf>
    <xf numFmtId="0" fontId="16" fillId="30" borderId="0" applyAlignment="1">
      <alignment vertical="center"/>
    </xf>
    <xf numFmtId="0" fontId="7" fillId="0" borderId="0" applyAlignment="1" applyProtection="1">
      <alignment vertical="top"/>
      <protection locked="0" hidden="0"/>
    </xf>
    <xf numFmtId="9" fontId="0" fillId="0" borderId="0" applyAlignment="1">
      <alignment vertical="center"/>
    </xf>
    <xf numFmtId="0" fontId="14" fillId="0" borderId="0" applyAlignment="1">
      <alignment vertical="center"/>
    </xf>
    <xf numFmtId="0" fontId="0" fillId="16" borderId="5" applyAlignment="1">
      <alignment vertical="center"/>
    </xf>
    <xf numFmtId="0" fontId="16" fillId="23" borderId="0" applyAlignment="1">
      <alignment vertical="center"/>
    </xf>
    <xf numFmtId="0" fontId="13" fillId="0" borderId="0" applyAlignment="1">
      <alignment vertical="center"/>
    </xf>
    <xf numFmtId="0" fontId="11" fillId="0" borderId="0" applyAlignment="1">
      <alignment vertical="center"/>
    </xf>
    <xf numFmtId="0" fontId="20" fillId="0" borderId="0" applyAlignment="1">
      <alignment vertical="center"/>
    </xf>
    <xf numFmtId="0" fontId="12" fillId="0" borderId="0" applyAlignment="1">
      <alignment vertical="center"/>
    </xf>
    <xf numFmtId="0" fontId="18" fillId="0" borderId="3" applyAlignment="1">
      <alignment vertical="center"/>
    </xf>
    <xf numFmtId="0" fontId="10" fillId="0" borderId="3" applyAlignment="1">
      <alignment vertical="center"/>
    </xf>
    <xf numFmtId="0" fontId="16" fillId="29" borderId="0" applyAlignment="1">
      <alignment vertical="center"/>
    </xf>
    <xf numFmtId="0" fontId="13" fillId="0" borderId="7" applyAlignment="1">
      <alignment vertical="center"/>
    </xf>
    <xf numFmtId="0" fontId="16" fillId="22" borderId="0" applyAlignment="1">
      <alignment vertical="center"/>
    </xf>
    <xf numFmtId="0" fontId="17" fillId="15" borderId="4" applyAlignment="1">
      <alignment vertical="center"/>
    </xf>
    <xf numFmtId="0" fontId="23" fillId="15" borderId="8" applyAlignment="1">
      <alignment vertical="center"/>
    </xf>
    <xf numFmtId="0" fontId="9" fillId="6" borderId="2" applyAlignment="1">
      <alignment vertical="center"/>
    </xf>
    <xf numFmtId="0" fontId="8" fillId="34" borderId="0" applyAlignment="1">
      <alignment vertical="center"/>
    </xf>
    <xf numFmtId="0" fontId="16" fillId="19" borderId="0" applyAlignment="1">
      <alignment vertical="center"/>
    </xf>
    <xf numFmtId="0" fontId="24" fillId="0" borderId="9" applyAlignment="1">
      <alignment vertical="center"/>
    </xf>
    <xf numFmtId="0" fontId="19" fillId="0" borderId="6" applyAlignment="1">
      <alignment vertical="center"/>
    </xf>
    <xf numFmtId="0" fontId="25" fillId="33" borderId="0" applyAlignment="1">
      <alignment vertical="center"/>
    </xf>
    <xf numFmtId="0" fontId="21" fillId="21" borderId="0" applyAlignment="1">
      <alignment vertical="center"/>
    </xf>
    <xf numFmtId="0" fontId="8" fillId="26" borderId="0" applyAlignment="1">
      <alignment vertical="center"/>
    </xf>
    <xf numFmtId="0" fontId="16" fillId="14" borderId="0" applyAlignment="1">
      <alignment vertical="center"/>
    </xf>
    <xf numFmtId="0" fontId="8" fillId="25" borderId="0" applyAlignment="1">
      <alignment vertical="center"/>
    </xf>
    <xf numFmtId="0" fontId="8" fillId="5" borderId="0" applyAlignment="1">
      <alignment vertical="center"/>
    </xf>
    <xf numFmtId="0" fontId="8" fillId="32" borderId="0" applyAlignment="1">
      <alignment vertical="center"/>
    </xf>
    <xf numFmtId="0" fontId="8" fillId="10" borderId="0" applyAlignment="1">
      <alignment vertical="center"/>
    </xf>
    <xf numFmtId="0" fontId="16" fillId="13" borderId="0" applyAlignment="1">
      <alignment vertical="center"/>
    </xf>
    <xf numFmtId="0" fontId="16" fillId="18" borderId="0" applyAlignment="1">
      <alignment vertical="center"/>
    </xf>
    <xf numFmtId="0" fontId="8" fillId="31" borderId="0" applyAlignment="1">
      <alignment vertical="center"/>
    </xf>
    <xf numFmtId="0" fontId="8" fillId="9" borderId="0" applyAlignment="1">
      <alignment vertical="center"/>
    </xf>
    <xf numFmtId="0" fontId="16" fillId="12" borderId="0" applyAlignment="1">
      <alignment vertical="center"/>
    </xf>
    <xf numFmtId="0" fontId="8" fillId="4" borderId="0" applyAlignment="1">
      <alignment vertical="center"/>
    </xf>
    <xf numFmtId="0" fontId="16" fillId="28" borderId="0" applyAlignment="1">
      <alignment vertical="center"/>
    </xf>
    <xf numFmtId="0" fontId="16" fillId="17" borderId="0" applyAlignment="1">
      <alignment vertical="center"/>
    </xf>
    <xf numFmtId="0" fontId="8" fillId="8" borderId="0" applyAlignment="1">
      <alignment vertical="center"/>
    </xf>
    <xf numFmtId="0" fontId="16" fillId="20" borderId="0" applyAlignment="1">
      <alignment vertical="center"/>
    </xf>
  </cellStyleXfs>
  <cellXfs count="40">
    <xf numFmtId="0" fontId="0" fillId="0" borderId="0" applyAlignment="1" pivotButton="0" quotePrefix="0" xfId="0">
      <alignment vertical="center"/>
    </xf>
    <xf numFmtId="0" fontId="1" fillId="0" borderId="0" applyAlignment="1" pivotButton="0" quotePrefix="0" xfId="0">
      <alignment vertical="center"/>
    </xf>
    <xf numFmtId="0" fontId="2" fillId="0" borderId="0" applyAlignment="1" pivotButton="0" quotePrefix="0" xfId="10">
      <alignment vertical="center"/>
    </xf>
    <xf numFmtId="0" fontId="1" fillId="0" borderId="0" applyAlignment="1" pivotButton="0" quotePrefix="0" xfId="0">
      <alignment vertical="center"/>
    </xf>
    <xf numFmtId="0" fontId="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4" fillId="2" borderId="1" applyAlignment="1" pivotButton="0" quotePrefix="0" xfId="0">
      <alignment horizontal="center" vertical="center"/>
    </xf>
    <xf numFmtId="0" fontId="5" fillId="3" borderId="1" applyAlignment="1" pivotButton="0" quotePrefix="0" xfId="0">
      <alignment horizontal="center" vertical="center"/>
    </xf>
    <xf numFmtId="0" fontId="4" fillId="3" borderId="1" applyAlignment="1" pivotButton="0" quotePrefix="0" xfId="0">
      <alignment horizontal="center" vertical="center"/>
    </xf>
    <xf numFmtId="0" fontId="1" fillId="0" borderId="1" applyAlignment="1" pivotButton="0" quotePrefix="0" xfId="0">
      <alignment horizontal="center"/>
    </xf>
    <xf numFmtId="0" fontId="1" fillId="0" borderId="1" applyAlignment="1" pivotButton="0" quotePrefix="0" xfId="0">
      <alignment horizontal="left"/>
    </xf>
    <xf numFmtId="0" fontId="6" fillId="0" borderId="1" applyAlignment="1" pivotButton="0" quotePrefix="0" xfId="0">
      <alignment horizontal="left"/>
    </xf>
    <xf numFmtId="0" fontId="6" fillId="0" borderId="1" pivotButton="0" quotePrefix="0" xfId="0"/>
    <xf numFmtId="0" fontId="1" fillId="0" borderId="1" applyAlignment="1" pivotButton="0" quotePrefix="0" xfId="0">
      <alignment horizontal="center"/>
    </xf>
    <xf numFmtId="0" fontId="1" fillId="0" borderId="1" applyAlignment="1" pivotButton="0" quotePrefix="0" xfId="0">
      <alignment horizontal="left"/>
    </xf>
    <xf numFmtId="0" fontId="6" fillId="0" borderId="1" applyAlignment="1" pivotButton="0" quotePrefix="0" xfId="0">
      <alignment horizontal="left"/>
    </xf>
    <xf numFmtId="0" fontId="1" fillId="0" borderId="1" pivotButton="0" quotePrefix="0" xfId="0"/>
    <xf numFmtId="49" fontId="6" fillId="0" borderId="1" applyAlignment="1" pivotButton="0" quotePrefix="0" xfId="0">
      <alignment horizontal="left"/>
    </xf>
    <xf numFmtId="49" fontId="6" fillId="0" borderId="1" applyAlignment="1" pivotButton="0" quotePrefix="0" xfId="0">
      <alignment horizontal="left"/>
    </xf>
    <xf numFmtId="0" fontId="7" fillId="0" borderId="0" applyAlignment="1" pivotButton="0" quotePrefix="0" xfId="10">
      <alignment horizontal="left" vertical="center"/>
    </xf>
    <xf numFmtId="0" fontId="2" fillId="0" borderId="0" applyAlignment="1" pivotButton="0" quotePrefix="0" xfId="10">
      <alignment horizontal="left" vertical="center"/>
    </xf>
    <xf numFmtId="0" fontId="0" fillId="0" borderId="0" pivotButton="0" quotePrefix="0" xfId="0"/>
    <xf numFmtId="0" fontId="26" fillId="35" borderId="0" applyAlignment="1" pivotButton="0" quotePrefix="0" xfId="0">
      <alignment horizontal="center" vertical="center"/>
    </xf>
    <xf numFmtId="0" fontId="27" fillId="0" borderId="1" applyAlignment="1" pivotButton="0" quotePrefix="0" xfId="0">
      <alignment horizontal="center"/>
    </xf>
    <xf numFmtId="0" fontId="27" fillId="0" borderId="1" applyAlignment="1" pivotButton="0" quotePrefix="0" xfId="0">
      <alignment horizontal="left"/>
    </xf>
    <xf numFmtId="0" fontId="27" fillId="36" borderId="1" applyAlignment="1" pivotButton="0" quotePrefix="0" xfId="0">
      <alignment horizontal="left"/>
    </xf>
    <xf numFmtId="0" fontId="27" fillId="0" borderId="1" pivotButton="0" quotePrefix="0" xfId="0"/>
    <xf numFmtId="0" fontId="28" fillId="0" borderId="1" applyAlignment="1" pivotButton="0" quotePrefix="0" xfId="0">
      <alignment vertical="top" wrapText="1"/>
    </xf>
    <xf numFmtId="0" fontId="27" fillId="0" borderId="0" pivotButton="0" quotePrefix="0" xfId="0"/>
    <xf numFmtId="0" fontId="29" fillId="0" borderId="1" applyAlignment="1" pivotButton="0" quotePrefix="0" xfId="0">
      <alignment vertical="top" wrapText="1"/>
    </xf>
    <xf numFmtId="49" fontId="27" fillId="0" borderId="1" applyAlignment="1" pivotButton="0" quotePrefix="0" xfId="0">
      <alignment horizontal="left"/>
    </xf>
    <xf numFmtId="0" fontId="28" fillId="0" borderId="0" applyAlignment="1" pivotButton="0" quotePrefix="0" xfId="0">
      <alignment vertical="top" wrapText="1"/>
    </xf>
    <xf numFmtId="0" fontId="29" fillId="0" borderId="0" applyAlignment="1" pivotButton="0" quotePrefix="0" xfId="0">
      <alignment vertical="top" wrapText="1"/>
    </xf>
    <xf numFmtId="0" fontId="27" fillId="0" borderId="0" applyAlignment="1" pivotButton="0" quotePrefix="0" xfId="10">
      <alignment horizontal="left" vertical="center"/>
    </xf>
    <xf numFmtId="0" fontId="28" fillId="0" borderId="0" applyAlignment="1" pivotButton="0" quotePrefix="0" xfId="10">
      <alignment vertical="top" wrapText="1"/>
    </xf>
    <xf numFmtId="0" fontId="27" fillId="37" borderId="0" pivotButton="0" quotePrefix="0" xfId="0"/>
    <xf numFmtId="0" fontId="30" fillId="0" borderId="0" pivotButton="0" quotePrefix="0" xfId="0"/>
    <xf numFmtId="0" fontId="29" fillId="0" borderId="0" pivotButton="0" quotePrefix="0" xfId="0"/>
    <xf numFmtId="0" fontId="26" fillId="0" borderId="0" applyAlignment="1" pivotButton="0" quotePrefix="0" xfId="0">
      <alignment vertical="top" wrapText="1"/>
    </xf>
    <xf numFmtId="0" fontId="31" fillId="0" borderId="0" pivotButton="0" quotePrefix="0" xfId="0"/>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9525</colOff>
      <row>1</row>
      <rowOff>28576</rowOff>
    </from>
    <to>
      <col>1</col>
      <colOff>666750</colOff>
      <row>2</row>
      <rowOff>156973</rowOff>
    </to>
    <pic>
      <nvPicPr>
        <cNvPr id="2" name="图片 1" descr="pcbway-400x400.jpg"/>
        <cNvPicPr>
          <a:picLocks noChangeAspect="1"/>
        </cNvPicPr>
      </nvPicPr>
      <blipFill>
        <a:blip cstate="print" r:embed="rId1"/>
        <a:stretch>
          <a:fillRect/>
        </a:stretch>
      </blipFill>
      <spPr>
        <a:xfrm>
          <a:off x="9525" y="209550"/>
          <a:ext cx="1343025" cy="375920"/>
        </a:xfrm>
        <a:prstGeom prst="rect">
          <avLst/>
        </a:prstGeom>
        <a:ln>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hyperlink" Target="https://www.pcbway.com/smt_ordering_guide.html" TargetMode="External" Id="rId1" /><Relationship Type="http://schemas.openxmlformats.org/officeDocument/2006/relationships/hyperlink" Target="https://www.pcbway.com/blog/PCB_Assembly/How_to_Build_a_BOM__Bill_Of_Materials_.html" TargetMode="External" Id="rId2" /><Relationship Type="http://schemas.openxmlformats.org/officeDocument/2006/relationships/drawing" Target="/xl/drawings/drawing1.xml" Id="rId3" /></Relationships>
</file>

<file path=xl/worksheets/sheet1.xml><?xml version="1.0" encoding="utf-8"?>
<worksheet xmlns="http://schemas.openxmlformats.org/spreadsheetml/2006/main">
  <sheetPr>
    <outlinePr summaryBelow="1" summaryRight="1"/>
    <pageSetUpPr/>
  </sheetPr>
  <dimension ref="A2:J50"/>
  <sheetViews>
    <sheetView tabSelected="1" workbookViewId="0">
      <selection activeCell="H36" sqref="H36"/>
    </sheetView>
  </sheetViews>
  <sheetFormatPr baseColWidth="8" defaultColWidth="9" defaultRowHeight="14.25"/>
  <cols>
    <col width="9" customWidth="1" style="3" min="1" max="1"/>
    <col width="16.375" customWidth="1" style="3" min="2" max="2"/>
    <col width="9" customWidth="1" style="3" min="3" max="3"/>
    <col width="21.375" customWidth="1" style="3" min="4" max="4"/>
    <col width="29.875" customWidth="1" style="3" min="5" max="5"/>
    <col width="41.625" customWidth="1" style="3" min="6" max="6"/>
    <col width="20.875" customWidth="1" style="3" min="7" max="7"/>
    <col width="13.625" customWidth="1" style="3" min="8" max="8"/>
    <col width="56" customWidth="1" style="3" min="9" max="9"/>
    <col width="14" customWidth="1" style="3" min="10" max="16384"/>
  </cols>
  <sheetData>
    <row r="2" ht="19.5" customHeight="1" s="21">
      <c r="A2" s="4" t="n"/>
      <c r="D2" s="5" t="inlineStr">
        <is>
          <t>Smart Ring PCBA - Bill of Materials</t>
        </is>
      </c>
    </row>
    <row r="3" ht="13.5" customHeight="1" s="21"/>
    <row r="4"/>
    <row r="6" ht="28.5" customHeight="1" s="21">
      <c r="A6" s="6" t="inlineStr">
        <is>
          <t>Item #</t>
        </is>
      </c>
      <c r="B6" s="7" t="inlineStr">
        <is>
          <t>*Designator</t>
        </is>
      </c>
      <c r="C6" s="8" t="inlineStr">
        <is>
          <t>*Qty</t>
        </is>
      </c>
      <c r="D6" s="6" t="inlineStr">
        <is>
          <t>Manufacturer</t>
        </is>
      </c>
      <c r="E6" s="8" t="inlineStr">
        <is>
          <t>*Mfg Part #</t>
        </is>
      </c>
      <c r="F6" s="6" t="inlineStr">
        <is>
          <t>Description / Value</t>
        </is>
      </c>
      <c r="G6" s="7" t="inlineStr">
        <is>
          <t xml:space="preserve">*Package/Footprint </t>
        </is>
      </c>
      <c r="H6" s="6" t="inlineStr">
        <is>
          <t>Type</t>
        </is>
      </c>
      <c r="I6" s="6" t="inlineStr">
        <is>
          <t>Your Instructions / Notes</t>
        </is>
      </c>
      <c r="J6" s="22" t="inlineStr">
        <is>
          <t>LCSC Part #</t>
        </is>
      </c>
    </row>
    <row r="7">
      <c r="A7" s="23" t="n">
        <v>1</v>
      </c>
      <c r="B7" s="24" t="inlineStr">
        <is>
          <t>U5</t>
        </is>
      </c>
      <c r="C7" s="23" t="n">
        <v>1</v>
      </c>
      <c r="D7" s="25" t="inlineStr">
        <is>
          <t>u-blox</t>
        </is>
      </c>
      <c r="E7" s="25" t="inlineStr">
        <is>
          <t>ANNA-B402</t>
        </is>
      </c>
      <c r="F7" s="24" t="inlineStr">
        <is>
          <t>MODULE BLE 5.1 nRF52833 SiP, internal antenna</t>
        </is>
      </c>
      <c r="G7" s="24" t="inlineStr">
        <is>
          <t>56-pad LGA 6.5x6.5mm</t>
        </is>
      </c>
      <c r="H7" s="26" t="inlineStr">
        <is>
          <t>SMD</t>
        </is>
      </c>
      <c r="I7" s="27" t="inlineStr">
        <is>
          <t>NOT IN YOUR LCSC ORDER - u-blox module, not stocked by LCSC. Source separately.</t>
        </is>
      </c>
      <c r="J7" s="28" t="inlineStr"/>
    </row>
    <row r="8" customFormat="1" s="3">
      <c r="A8" s="23" t="n">
        <v>2</v>
      </c>
      <c r="B8" s="24" t="inlineStr">
        <is>
          <t>U3</t>
        </is>
      </c>
      <c r="C8" s="23" t="n">
        <v>1</v>
      </c>
      <c r="D8" s="25" t="inlineStr">
        <is>
          <t>Analog Devices (Maxim)</t>
        </is>
      </c>
      <c r="E8" s="25" t="inlineStr">
        <is>
          <t>MAXM86161EFD+T</t>
        </is>
      </c>
      <c r="F8" s="24" t="inlineStr">
        <is>
          <t>IC OPTICAL PPG AFE MODULE, integrated LEDs + photodiode</t>
        </is>
      </c>
      <c r="G8" s="24" t="inlineStr">
        <is>
          <t>14-OLGA 2.9x4.3x1.4mm</t>
        </is>
      </c>
      <c r="H8" s="26" t="inlineStr">
        <is>
          <t>SMD</t>
        </is>
      </c>
      <c r="I8" s="27" t="inlineStr">
        <is>
          <t>NOT IN YOUR LCSC ORDER - source separately. Verified on hw: I2C 0x62, PART_ID 0x36.</t>
        </is>
      </c>
      <c r="J8" s="28" t="inlineStr"/>
    </row>
    <row r="9">
      <c r="A9" s="23" t="n">
        <v>3</v>
      </c>
      <c r="B9" s="24" t="inlineStr">
        <is>
          <t>U4</t>
        </is>
      </c>
      <c r="C9" s="23" t="n">
        <v>1</v>
      </c>
      <c r="D9" s="24" t="inlineStr">
        <is>
          <t>STMicroelectronics</t>
        </is>
      </c>
      <c r="E9" s="24" t="inlineStr">
        <is>
          <t>LSM6DSV16BXTR</t>
        </is>
      </c>
      <c r="F9" s="24" t="inlineStr">
        <is>
          <t>IC IMU 6-AXIS ACCEL + GYRO</t>
        </is>
      </c>
      <c r="G9" s="24" t="inlineStr">
        <is>
          <t>LGA-14 (2.5x3.0mm)</t>
        </is>
      </c>
      <c r="H9" s="26" t="inlineStr">
        <is>
          <t>SMD</t>
        </is>
      </c>
      <c r="I9" s="29" t="inlineStr">
        <is>
          <t>Matched to your LCSC order. Confirms the fitted part is the 16BX, not the LSM6DSV in the project datasheet.</t>
        </is>
      </c>
      <c r="J9" s="28" t="inlineStr">
        <is>
          <t>C5267394</t>
        </is>
      </c>
    </row>
    <row r="10">
      <c r="A10" s="23" t="n">
        <v>4</v>
      </c>
      <c r="B10" s="24" t="inlineStr">
        <is>
          <t>U6</t>
        </is>
      </c>
      <c r="C10" s="23" t="n">
        <v>1</v>
      </c>
      <c r="D10" s="24" t="inlineStr">
        <is>
          <t>TI</t>
        </is>
      </c>
      <c r="E10" s="24" t="inlineStr">
        <is>
          <t>BQ25120AYFPR</t>
        </is>
      </c>
      <c r="F10" s="24" t="inlineStr">
        <is>
          <t>IC BATT CHARGER + BUCK + LDO, I2C</t>
        </is>
      </c>
      <c r="G10" s="24" t="inlineStr">
        <is>
          <t>DSBGA-25</t>
        </is>
      </c>
      <c r="H10" s="26" t="inlineStr">
        <is>
          <t>SMD</t>
        </is>
      </c>
      <c r="I10" s="29" t="inlineStr">
        <is>
          <t>Matched to your LCSC order. Verified on hw: I2C 0x6a.</t>
        </is>
      </c>
      <c r="J10" s="28" t="inlineStr">
        <is>
          <t>C2866577</t>
        </is>
      </c>
    </row>
    <row r="11">
      <c r="A11" s="23" t="n">
        <v>5</v>
      </c>
      <c r="B11" s="24" t="inlineStr">
        <is>
          <t>U1</t>
        </is>
      </c>
      <c r="C11" s="23" t="n">
        <v>1</v>
      </c>
      <c r="D11" s="24" t="inlineStr">
        <is>
          <t>TI</t>
        </is>
      </c>
      <c r="E11" s="24" t="inlineStr">
        <is>
          <t>TPS61240YFFR</t>
        </is>
      </c>
      <c r="F11" s="24" t="inlineStr">
        <is>
          <t>IC BOOST 5V FIXED 450mA, supplies VLED</t>
        </is>
      </c>
      <c r="G11" s="24" t="inlineStr">
        <is>
          <t>DSBGA-6</t>
        </is>
      </c>
      <c r="H11" s="26" t="inlineStr">
        <is>
          <t>SMD</t>
        </is>
      </c>
      <c r="I11" s="29" t="inlineStr">
        <is>
          <t>Matched to your LCSC order</t>
        </is>
      </c>
      <c r="J11" s="28" t="inlineStr">
        <is>
          <t>C2070904</t>
        </is>
      </c>
    </row>
    <row r="12">
      <c r="A12" s="23" t="n">
        <v>6</v>
      </c>
      <c r="B12" s="24" t="inlineStr">
        <is>
          <t>U7</t>
        </is>
      </c>
      <c r="C12" s="23" t="n">
        <v>1</v>
      </c>
      <c r="D12" s="24" t="inlineStr">
        <is>
          <t>TI</t>
        </is>
      </c>
      <c r="E12" s="24" t="inlineStr">
        <is>
          <t>OPA2333AIDRBR</t>
        </is>
      </c>
      <c r="F12" s="24" t="inlineStr">
        <is>
          <t>IC OPAMP ZERO-DRIFT DUAL, GSR front end</t>
        </is>
      </c>
      <c r="G12" s="30" t="inlineStr">
        <is>
          <t>SON-8-EP (3x3)</t>
        </is>
      </c>
      <c r="H12" s="26" t="inlineStr">
        <is>
          <t>SMD</t>
        </is>
      </c>
      <c r="I12" s="29" t="inlineStr">
        <is>
          <t>Matched to your LCSC order. Confirms dual OPA2333 (I had guessed the DRG suffix; yours is DRB). GSR front end is currently non-functional - see HANDOFF.md.</t>
        </is>
      </c>
      <c r="J12" s="28" t="inlineStr">
        <is>
          <t>C882727</t>
        </is>
      </c>
    </row>
    <row r="13">
      <c r="A13" s="23" t="n">
        <v>7</v>
      </c>
      <c r="B13" s="24" t="inlineStr">
        <is>
          <t>L1</t>
        </is>
      </c>
      <c r="C13" s="23" t="n">
        <v>1</v>
      </c>
      <c r="D13" s="24" t="inlineStr">
        <is>
          <t>TDK</t>
        </is>
      </c>
      <c r="E13" s="24" t="inlineStr">
        <is>
          <t>MLZ1005M2R2WT000</t>
        </is>
      </c>
      <c r="F13" s="24" t="inlineStr">
        <is>
          <t>INDUCTOR 2.2uH 350mA 550mOhm - BQ25120A buck</t>
        </is>
      </c>
      <c r="G13" s="30" t="inlineStr">
        <is>
          <t>0402</t>
        </is>
      </c>
      <c r="H13" s="26" t="inlineStr">
        <is>
          <t>SMD</t>
        </is>
      </c>
      <c r="I13" s="29" t="inlineStr">
        <is>
          <t>Matched to your LCSC order. Value from datasheet (BQ25120A p.28).</t>
        </is>
      </c>
      <c r="J13" s="28" t="inlineStr">
        <is>
          <t>C383389</t>
        </is>
      </c>
    </row>
    <row r="14">
      <c r="A14" s="23" t="n">
        <v>8</v>
      </c>
      <c r="B14" s="24" t="inlineStr">
        <is>
          <t>L2</t>
        </is>
      </c>
      <c r="C14" s="23" t="n">
        <v>1</v>
      </c>
      <c r="D14" s="24" t="inlineStr">
        <is>
          <t>TDK</t>
        </is>
      </c>
      <c r="E14" s="24" t="inlineStr">
        <is>
          <t>MLZ1005M1R0WT000</t>
        </is>
      </c>
      <c r="F14" s="24" t="inlineStr">
        <is>
          <t>INDUCTOR 1.0uH 450mA 350mOhm - TPS61240 boost</t>
        </is>
      </c>
      <c r="G14" s="30" t="inlineStr">
        <is>
          <t>0402</t>
        </is>
      </c>
      <c r="H14" s="26" t="inlineStr">
        <is>
          <t>SMD</t>
        </is>
      </c>
      <c r="I14" s="29" t="inlineStr">
        <is>
          <t>Matched to your LCSC order. Value from datasheet (TPS61240 p.5).</t>
        </is>
      </c>
      <c r="J14" s="28" t="inlineStr">
        <is>
          <t>C531288</t>
        </is>
      </c>
    </row>
    <row r="15">
      <c r="A15" s="23" t="n">
        <v>9</v>
      </c>
      <c r="B15" s="24" t="inlineStr">
        <is>
          <t>C12</t>
        </is>
      </c>
      <c r="C15" s="23" t="n">
        <v>1</v>
      </c>
      <c r="D15" s="24" t="inlineStr">
        <is>
          <t>Chinocera</t>
        </is>
      </c>
      <c r="E15" s="24" t="inlineStr">
        <is>
          <t>HGC0402R5106M100NTEJ</t>
        </is>
      </c>
      <c r="F15" s="24" t="inlineStr">
        <is>
          <t>CAP CER 10uF 10V X5R - U3 VLED bypass</t>
        </is>
      </c>
      <c r="G15" s="30" t="inlineStr">
        <is>
          <t>0402</t>
        </is>
      </c>
      <c r="H15" s="26" t="inlineStr">
        <is>
          <t>SMD</t>
        </is>
      </c>
      <c r="I15" s="29" t="inlineStr">
        <is>
          <t>Value from datasheet (MAXM86161 p.13 requires 10uF). 10V part chosen: VLED is 5V, so the 6.3V 10uF in your order is too close to rated.</t>
        </is>
      </c>
      <c r="J15" s="28" t="inlineStr">
        <is>
          <t>C7472949</t>
        </is>
      </c>
    </row>
    <row r="16" customFormat="1" s="3">
      <c r="A16" s="23" t="n">
        <v>10</v>
      </c>
      <c r="B16" s="24" t="inlineStr">
        <is>
          <t>C16</t>
        </is>
      </c>
      <c r="C16" s="23" t="n">
        <v>1</v>
      </c>
      <c r="D16" s="24" t="inlineStr">
        <is>
          <t>Samsung</t>
        </is>
      </c>
      <c r="E16" s="24" t="inlineStr">
        <is>
          <t>CL05A475MP5NRNC</t>
        </is>
      </c>
      <c r="F16" s="24" t="inlineStr">
        <is>
          <t>CAP CER 4.7uF 10V X5R - TPS61240 output</t>
        </is>
      </c>
      <c r="G16" s="30" t="inlineStr">
        <is>
          <t>0402</t>
        </is>
      </c>
      <c r="H16" s="26" t="inlineStr">
        <is>
          <t>SMD</t>
        </is>
      </c>
      <c r="I16" s="29" t="inlineStr">
        <is>
          <t>Value from datasheet (TPS61240 p.5: COUT 4.7uF). 5V rail, 10V rated.</t>
        </is>
      </c>
      <c r="J16" s="28" t="inlineStr">
        <is>
          <t>C23733</t>
        </is>
      </c>
    </row>
    <row r="17">
      <c r="A17" s="23" t="n">
        <v>11</v>
      </c>
      <c r="B17" s="24" t="inlineStr">
        <is>
          <t>C8</t>
        </is>
      </c>
      <c r="C17" s="23" t="n">
        <v>1</v>
      </c>
      <c r="D17" s="24" t="inlineStr">
        <is>
          <t>CCTC</t>
        </is>
      </c>
      <c r="E17" s="24" t="inlineStr">
        <is>
          <t>TCC0402X5R105M6R3AT</t>
        </is>
      </c>
      <c r="F17" s="24" t="inlineStr">
        <is>
          <t>CAP CER 1uF 6.3V X5R - U3 VLDO bypass</t>
        </is>
      </c>
      <c r="G17" s="30" t="inlineStr">
        <is>
          <t>0402</t>
        </is>
      </c>
      <c r="H17" s="26" t="inlineStr">
        <is>
          <t>SMD</t>
        </is>
      </c>
      <c r="I17" s="29" t="inlineStr">
        <is>
          <t>Value from datasheet (MAXM86161 p.13: 1uF). VLDO is 1.8V.</t>
        </is>
      </c>
      <c r="J17" s="28" t="inlineStr">
        <is>
          <t>C2887021</t>
        </is>
      </c>
    </row>
    <row r="18">
      <c r="A18" s="23" t="n">
        <v>12</v>
      </c>
      <c r="B18" s="24" t="inlineStr">
        <is>
          <t>C3</t>
        </is>
      </c>
      <c r="C18" s="23" t="n">
        <v>1</v>
      </c>
      <c r="D18" s="24" t="inlineStr">
        <is>
          <t>Chinocera</t>
        </is>
      </c>
      <c r="E18" s="24" t="inlineStr">
        <is>
          <t>HGC0402R5106M100NTEJ</t>
        </is>
      </c>
      <c r="F18" s="24" t="inlineStr">
        <is>
          <t>CAP CER 10uF 10V X5R - BQ25120A PMID bypass</t>
        </is>
      </c>
      <c r="G18" s="30" t="inlineStr">
        <is>
          <t>0402</t>
        </is>
      </c>
      <c r="H18" s="26" t="inlineStr">
        <is>
          <t>SMD</t>
        </is>
      </c>
      <c r="I18" s="29" t="inlineStr">
        <is>
          <t>Value from datasheet (BQ25120A requires &gt;=3uF with DC bias derating). PMID follows VIN, so 10V rating is required.</t>
        </is>
      </c>
      <c r="J18" s="28" t="inlineStr">
        <is>
          <t>C7472949</t>
        </is>
      </c>
    </row>
    <row r="19">
      <c r="A19" s="23" t="n">
        <v>13</v>
      </c>
      <c r="B19" s="24" t="inlineStr">
        <is>
          <t>C2</t>
        </is>
      </c>
      <c r="C19" s="23" t="n">
        <v>1</v>
      </c>
      <c r="D19" s="24" t="inlineStr">
        <is>
          <t>Chinocera</t>
        </is>
      </c>
      <c r="E19" s="24" t="inlineStr">
        <is>
          <t>HGC0402R5106M100NTEJ</t>
        </is>
      </c>
      <c r="F19" s="24" t="inlineStr">
        <is>
          <t>CAP CER 10uF 10V X5R - BQ25120A VIN bypass</t>
        </is>
      </c>
      <c r="G19" s="30" t="inlineStr">
        <is>
          <t>0402</t>
        </is>
      </c>
      <c r="H19" s="26" t="inlineStr">
        <is>
          <t>SMD</t>
        </is>
      </c>
      <c r="I19" s="29" t="inlineStr">
        <is>
          <t>Value from datasheet (requires &gt;=1uF). VIN is the 5V charger input, so 10V rated.</t>
        </is>
      </c>
      <c r="J19" s="28" t="inlineStr">
        <is>
          <t>C7472949</t>
        </is>
      </c>
    </row>
    <row r="20">
      <c r="A20" s="23" t="n">
        <v>14</v>
      </c>
      <c r="B20" s="24" t="inlineStr">
        <is>
          <t>C5</t>
        </is>
      </c>
      <c r="C20" s="23" t="n">
        <v>1</v>
      </c>
      <c r="D20" s="24" t="inlineStr">
        <is>
          <t>Samsung</t>
        </is>
      </c>
      <c r="E20" s="24" t="inlineStr">
        <is>
          <t>CL05A106MQ5NUNC</t>
        </is>
      </c>
      <c r="F20" s="24" t="inlineStr">
        <is>
          <t>CAP CER 10uF 6.3V X5R - BAT+ bulk</t>
        </is>
      </c>
      <c r="G20" s="30" t="inlineStr">
        <is>
          <t>0402</t>
        </is>
      </c>
      <c r="H20" s="26" t="inlineStr">
        <is>
          <t>SMD</t>
        </is>
      </c>
      <c r="I20" s="29" t="inlineStr">
        <is>
          <t>Matched to your LCSC order. BAT+ peaks at 4.2V, 6.3V rating adequate.</t>
        </is>
      </c>
      <c r="J20" s="28" t="inlineStr">
        <is>
          <t>C15525</t>
        </is>
      </c>
    </row>
    <row r="21">
      <c r="A21" s="23" t="n">
        <v>15</v>
      </c>
      <c r="B21" s="24" t="inlineStr">
        <is>
          <t>C1</t>
        </is>
      </c>
      <c r="C21" s="23" t="n">
        <v>1</v>
      </c>
      <c r="D21" s="24" t="inlineStr">
        <is>
          <t>CCTC</t>
        </is>
      </c>
      <c r="E21" s="24" t="inlineStr">
        <is>
          <t>TCC0402X5R105M6R3AT</t>
        </is>
      </c>
      <c r="F21" s="24" t="inlineStr">
        <is>
          <t>CAP CER 1uF 6.3V X5R - 1V8 rail decoupling</t>
        </is>
      </c>
      <c r="G21" s="30" t="inlineStr">
        <is>
          <t>0402</t>
        </is>
      </c>
      <c r="H21" s="26" t="inlineStr">
        <is>
          <t>SMD</t>
        </is>
      </c>
      <c r="I21" s="27" t="inlineStr">
        <is>
          <t>AMBIGUOUS - see legend (0402 cap position, value inferred)</t>
        </is>
      </c>
      <c r="J21" s="28" t="inlineStr">
        <is>
          <t>C2887021</t>
        </is>
      </c>
    </row>
    <row r="22">
      <c r="A22" s="28" t="n">
        <v>16</v>
      </c>
      <c r="B22" s="28" t="inlineStr">
        <is>
          <t>C10</t>
        </is>
      </c>
      <c r="C22" s="28" t="n">
        <v>1</v>
      </c>
      <c r="D22" s="28" t="inlineStr">
        <is>
          <t>CCTC</t>
        </is>
      </c>
      <c r="E22" s="28" t="inlineStr">
        <is>
          <t>TCC0402X5R105M6R3AT</t>
        </is>
      </c>
      <c r="F22" s="28" t="inlineStr">
        <is>
          <t>CAP CER 1uF 6.3V X5R - GSR_ADC filter to GND</t>
        </is>
      </c>
      <c r="G22" s="28" t="inlineStr">
        <is>
          <t>0402</t>
        </is>
      </c>
      <c r="H22" s="28" t="inlineStr">
        <is>
          <t>SMD</t>
        </is>
      </c>
      <c r="I22" s="31" t="inlineStr">
        <is>
          <t>AMBIGUOUS - see legend (0402 cap position, value inferred)</t>
        </is>
      </c>
      <c r="J22" s="28" t="inlineStr">
        <is>
          <t>C2887021</t>
        </is>
      </c>
    </row>
    <row r="23">
      <c r="A23" s="28" t="n">
        <v>17</v>
      </c>
      <c r="B23" s="28" t="inlineStr">
        <is>
          <t>C13</t>
        </is>
      </c>
      <c r="C23" s="28" t="n">
        <v>1</v>
      </c>
      <c r="D23" s="28" t="inlineStr">
        <is>
          <t>muRata</t>
        </is>
      </c>
      <c r="E23" s="28" t="inlineStr">
        <is>
          <t>GRM033R60J105KEA2D</t>
        </is>
      </c>
      <c r="F23" s="28" t="inlineStr">
        <is>
          <t>CAP CER 1uF 6.3V X5R - U3 VREF bypass</t>
        </is>
      </c>
      <c r="G23" s="28" t="inlineStr">
        <is>
          <t>0201</t>
        </is>
      </c>
      <c r="H23" s="28" t="inlineStr">
        <is>
          <t>SMD</t>
        </is>
      </c>
      <c r="I23" s="32" t="inlineStr">
        <is>
          <t>Value from datasheet (MAXM86161 p.13: 1uF).</t>
        </is>
      </c>
      <c r="J23" s="28" t="inlineStr">
        <is>
          <t>C76929</t>
        </is>
      </c>
    </row>
    <row r="24" ht="13.5" customHeight="1" s="21">
      <c r="A24" s="33" t="n">
        <v>18</v>
      </c>
      <c r="B24" s="28" t="inlineStr">
        <is>
          <t>C15</t>
        </is>
      </c>
      <c r="C24" s="28" t="n">
        <v>1</v>
      </c>
      <c r="D24" s="28" t="inlineStr">
        <is>
          <t>muRata</t>
        </is>
      </c>
      <c r="E24" s="28" t="inlineStr">
        <is>
          <t>GRM033R61A225ME47D</t>
        </is>
      </c>
      <c r="F24" s="28" t="inlineStr">
        <is>
          <t>CAP CER 2.2uF 10V X5R - BAT+ decoupling</t>
        </is>
      </c>
      <c r="G24" s="28" t="inlineStr">
        <is>
          <t>0201</t>
        </is>
      </c>
      <c r="H24" s="28" t="inlineStr">
        <is>
          <t>SMD</t>
        </is>
      </c>
      <c r="I24" s="32" t="inlineStr">
        <is>
          <t>Matched to your LCSC order. Only 0201 bulk value in your order.</t>
        </is>
      </c>
      <c r="J24" s="28" t="inlineStr">
        <is>
          <t>C319184</t>
        </is>
      </c>
    </row>
    <row r="25" ht="13.5" customHeight="1" s="21">
      <c r="A25" s="33" t="n">
        <v>19</v>
      </c>
      <c r="B25" s="33" t="inlineStr">
        <is>
          <t>C6</t>
        </is>
      </c>
      <c r="C25" s="33" t="n">
        <v>1</v>
      </c>
      <c r="D25" s="33" t="inlineStr">
        <is>
          <t>CCTC</t>
        </is>
      </c>
      <c r="E25" s="33" t="inlineStr">
        <is>
          <t>TCC0201X5R104K100ZT</t>
        </is>
      </c>
      <c r="F25" s="33" t="inlineStr">
        <is>
          <t>CAP CER 100nF 10V X5R - 1V8 decoupling</t>
        </is>
      </c>
      <c r="G25" s="33" t="inlineStr">
        <is>
          <t>0201</t>
        </is>
      </c>
      <c r="H25" s="33" t="inlineStr">
        <is>
          <t>SMD</t>
        </is>
      </c>
      <c r="I25" s="34" t="inlineStr">
        <is>
          <t>AMBIGUOUS - see legend - two 100nF 0201 parts in your order</t>
        </is>
      </c>
      <c r="J25" s="28" t="inlineStr">
        <is>
          <t>C5142565</t>
        </is>
      </c>
    </row>
    <row r="26" ht="13.5" customFormat="1" customHeight="1" s="2">
      <c r="A26" s="33" t="n">
        <v>20</v>
      </c>
      <c r="B26" s="28" t="inlineStr">
        <is>
          <t>C7</t>
        </is>
      </c>
      <c r="C26" s="28" t="n">
        <v>1</v>
      </c>
      <c r="D26" s="28" t="inlineStr">
        <is>
          <t>CCTC</t>
        </is>
      </c>
      <c r="E26" s="28" t="inlineStr">
        <is>
          <t>TCC0201X5R104K100ZT</t>
        </is>
      </c>
      <c r="F26" s="28" t="inlineStr">
        <is>
          <t>CAP CER 100nF 10V X5R - U4 IMU decoupling</t>
        </is>
      </c>
      <c r="G26" s="28" t="inlineStr">
        <is>
          <t>0201</t>
        </is>
      </c>
      <c r="H26" s="28" t="inlineStr">
        <is>
          <t>SMD</t>
        </is>
      </c>
      <c r="I26" s="31" t="inlineStr">
        <is>
          <t>AMBIGUOUS - see legend - two 100nF 0201 parts in your order</t>
        </is>
      </c>
      <c r="J26" s="28" t="inlineStr">
        <is>
          <t>C5142565</t>
        </is>
      </c>
    </row>
    <row r="27">
      <c r="A27" s="28" t="n">
        <v>21</v>
      </c>
      <c r="B27" s="28" t="inlineStr">
        <is>
          <t>C11</t>
        </is>
      </c>
      <c r="C27" s="28" t="n">
        <v>1</v>
      </c>
      <c r="D27" s="28" t="inlineStr">
        <is>
          <t>CCTC</t>
        </is>
      </c>
      <c r="E27" s="28" t="inlineStr">
        <is>
          <t>TCC0201X5R104K100ZT</t>
        </is>
      </c>
      <c r="F27" s="28" t="inlineStr">
        <is>
          <t>CAP CER 100nF 10V X5R - U5 module decoupling</t>
        </is>
      </c>
      <c r="G27" s="28" t="inlineStr">
        <is>
          <t>0201</t>
        </is>
      </c>
      <c r="H27" s="28" t="inlineStr">
        <is>
          <t>SMD</t>
        </is>
      </c>
      <c r="I27" s="31" t="inlineStr">
        <is>
          <t>AMBIGUOUS - see legend - two 100nF 0201 parts in your order</t>
        </is>
      </c>
      <c r="J27" s="28" t="inlineStr">
        <is>
          <t>C5142565</t>
        </is>
      </c>
    </row>
    <row r="28">
      <c r="A28" s="28" t="n">
        <v>22</v>
      </c>
      <c r="B28" s="28" t="inlineStr">
        <is>
          <t>C4</t>
        </is>
      </c>
      <c r="C28" s="28" t="n">
        <v>1</v>
      </c>
      <c r="D28" s="28" t="inlineStr">
        <is>
          <t>CCTC</t>
        </is>
      </c>
      <c r="E28" s="28" t="inlineStr">
        <is>
          <t>TCC0201X5R334K6R3ZT</t>
        </is>
      </c>
      <c r="F28" s="28" t="inlineStr">
        <is>
          <t>CAP CER 330nF 6.3V X5R - GSR filter, V_OUT_GSR to SKIN_SENSE</t>
        </is>
      </c>
      <c r="G28" s="28" t="inlineStr">
        <is>
          <t>0201</t>
        </is>
      </c>
      <c r="H28" s="28" t="inlineStr">
        <is>
          <t>SMD</t>
        </is>
      </c>
      <c r="I28" s="31" t="inlineStr">
        <is>
          <t>AMBIGUOUS - see legend - 330nF is the only unassigned 0201 value</t>
        </is>
      </c>
      <c r="J28" s="28" t="inlineStr">
        <is>
          <t>C18164550</t>
        </is>
      </c>
    </row>
    <row r="29">
      <c r="A29" s="28" t="n">
        <v>23</v>
      </c>
      <c r="B29" s="28" t="inlineStr">
        <is>
          <t>C14</t>
        </is>
      </c>
      <c r="C29" s="28" t="n">
        <v>1</v>
      </c>
      <c r="D29" s="28" t="inlineStr">
        <is>
          <t>FH</t>
        </is>
      </c>
      <c r="E29" s="28" t="inlineStr">
        <is>
          <t>0201X104K6R3NT</t>
        </is>
      </c>
      <c r="F29" s="28" t="inlineStr">
        <is>
          <t>CAP CER 100nF 6.3V X5R - GSR_PWR decoupling</t>
        </is>
      </c>
      <c r="G29" s="28" t="inlineStr">
        <is>
          <t>0201</t>
        </is>
      </c>
      <c r="H29" s="28" t="inlineStr">
        <is>
          <t>SMD</t>
        </is>
      </c>
      <c r="I29" s="31" t="inlineStr">
        <is>
          <t>AMBIGUOUS - see legend - second 100nF variant assigned here</t>
        </is>
      </c>
      <c r="J29" s="28" t="inlineStr">
        <is>
          <t>C66938</t>
        </is>
      </c>
    </row>
    <row r="30">
      <c r="A30" s="28" t="n">
        <v>24</v>
      </c>
      <c r="B30" s="28" t="inlineStr">
        <is>
          <t>R1</t>
        </is>
      </c>
      <c r="C30" s="28" t="n">
        <v>1</v>
      </c>
      <c r="D30" s="28" t="inlineStr">
        <is>
          <t>FOJAN</t>
        </is>
      </c>
      <c r="E30" s="28" t="inlineStr">
        <is>
          <t>FRC0402J472 TS</t>
        </is>
      </c>
      <c r="F30" s="28" t="inlineStr">
        <is>
          <t>RES 4.7k 5% - I2C SCL pull-up to 1V8</t>
        </is>
      </c>
      <c r="G30" s="28" t="inlineStr">
        <is>
          <t>0402</t>
        </is>
      </c>
      <c r="H30" s="28" t="inlineStr">
        <is>
          <t>SMD</t>
        </is>
      </c>
      <c r="I30" s="32" t="inlineStr">
        <is>
          <t>Matched to your LCSC order. 4.7k is the standard I2C pull-up.</t>
        </is>
      </c>
      <c r="J30" s="28" t="inlineStr">
        <is>
          <t>C2906941</t>
        </is>
      </c>
    </row>
    <row r="31">
      <c r="A31" s="28" t="n">
        <v>25</v>
      </c>
      <c r="B31" s="28" t="inlineStr">
        <is>
          <t>R2</t>
        </is>
      </c>
      <c r="C31" s="28" t="n">
        <v>1</v>
      </c>
      <c r="D31" s="28" t="inlineStr">
        <is>
          <t>FOJAN</t>
        </is>
      </c>
      <c r="E31" s="28" t="inlineStr">
        <is>
          <t>FRC0402J472 TS</t>
        </is>
      </c>
      <c r="F31" s="28" t="inlineStr">
        <is>
          <t>RES 4.7k 5% - I2C SDA pull-up to 1V8</t>
        </is>
      </c>
      <c r="G31" s="28" t="inlineStr">
        <is>
          <t>0402</t>
        </is>
      </c>
      <c r="H31" s="28" t="inlineStr">
        <is>
          <t>SMD</t>
        </is>
      </c>
      <c r="I31" s="32" t="inlineStr">
        <is>
          <t>Matched to your LCSC order. 4.7k is the standard I2C pull-up.</t>
        </is>
      </c>
      <c r="J31" s="28" t="inlineStr">
        <is>
          <t>C2906941</t>
        </is>
      </c>
    </row>
    <row r="32">
      <c r="A32" s="28" t="n">
        <v>26</v>
      </c>
      <c r="B32" s="28" t="inlineStr">
        <is>
          <t>R3</t>
        </is>
      </c>
      <c r="C32" s="28" t="n">
        <v>1</v>
      </c>
      <c r="D32" s="28" t="inlineStr">
        <is>
          <t>YAGEO</t>
        </is>
      </c>
      <c r="E32" s="28" t="inlineStr">
        <is>
          <t>RC0402FR-07180KL</t>
        </is>
      </c>
      <c r="F32" s="28" t="inlineStr">
        <is>
          <t>RES 180k 1% - GSR ref divider, GSR_PWR to VREF_DIV</t>
        </is>
      </c>
      <c r="G32" s="28" t="inlineStr">
        <is>
          <t>0402</t>
        </is>
      </c>
      <c r="H32" s="28" t="inlineStr">
        <is>
          <t>SMD</t>
        </is>
      </c>
      <c r="I32" s="31" t="inlineStr">
        <is>
          <t>AMBIGUOUS - see legend. With R4=470k this puts V_REF at 1.30V; swapped it is 0.50V. Neither is mid-rail - relevant to the GSR fault.</t>
        </is>
      </c>
      <c r="J32" s="28" t="inlineStr">
        <is>
          <t>C138046</t>
        </is>
      </c>
    </row>
    <row r="33">
      <c r="A33" s="28" t="n">
        <v>27</v>
      </c>
      <c r="B33" s="28" t="inlineStr">
        <is>
          <t>R4</t>
        </is>
      </c>
      <c r="C33" s="28" t="n">
        <v>1</v>
      </c>
      <c r="D33" s="28" t="inlineStr">
        <is>
          <t>FOJAN</t>
        </is>
      </c>
      <c r="E33" s="28" t="inlineStr">
        <is>
          <t>FRC0402J474 TS</t>
        </is>
      </c>
      <c r="F33" s="28" t="inlineStr">
        <is>
          <t>RES 470k 5% - GSR ref divider, VREF_DIV to GND</t>
        </is>
      </c>
      <c r="G33" s="28" t="inlineStr">
        <is>
          <t>0402</t>
        </is>
      </c>
      <c r="H33" s="28" t="inlineStr">
        <is>
          <t>SMD</t>
        </is>
      </c>
      <c r="I33" s="31" t="inlineStr">
        <is>
          <t>AMBIGUOUS - see legend - orientation with R3 unconfirmed</t>
        </is>
      </c>
      <c r="J33" s="28" t="inlineStr">
        <is>
          <t>C2906944</t>
        </is>
      </c>
    </row>
    <row r="34">
      <c r="A34" s="28" t="n">
        <v>28</v>
      </c>
      <c r="B34" s="28" t="inlineStr">
        <is>
          <t>R5</t>
        </is>
      </c>
      <c r="C34" s="28" t="n">
        <v>1</v>
      </c>
      <c r="D34" s="28" t="inlineStr">
        <is>
          <t>FH</t>
        </is>
      </c>
      <c r="E34" s="28" t="inlineStr">
        <is>
          <t>RC-01W9102FT</t>
        </is>
      </c>
      <c r="F34" s="28" t="inlineStr">
        <is>
          <t>RES 91k 1% - GSR sense, V_OUT_GSR to SKIN_SENSE</t>
        </is>
      </c>
      <c r="G34" s="28" t="inlineStr">
        <is>
          <t>0201</t>
        </is>
      </c>
      <c r="H34" s="28" t="inlineStr">
        <is>
          <t>SMD</t>
        </is>
      </c>
      <c r="I34" s="31" t="inlineStr">
        <is>
          <t>AMBIGUOUS - see legend - could be swapped with R6 (100k)</t>
        </is>
      </c>
      <c r="J34" s="28" t="inlineStr">
        <is>
          <t>C321085</t>
        </is>
      </c>
    </row>
    <row r="35">
      <c r="A35" s="28" t="n">
        <v>29</v>
      </c>
      <c r="B35" s="28" t="inlineStr">
        <is>
          <t>R6</t>
        </is>
      </c>
      <c r="C35" s="28" t="n">
        <v>1</v>
      </c>
      <c r="D35" s="28" t="inlineStr">
        <is>
          <t>YAGEO</t>
        </is>
      </c>
      <c r="E35" s="28" t="inlineStr">
        <is>
          <t>RC0201JR-07100KL</t>
        </is>
      </c>
      <c r="F35" s="28" t="inlineStr">
        <is>
          <t>RES 100k 5% - GSR output to ADC, V_OUT_GSR to GSR_ADC</t>
        </is>
      </c>
      <c r="G35" s="28" t="inlineStr">
        <is>
          <t>0201</t>
        </is>
      </c>
      <c r="H35" s="28" t="inlineStr">
        <is>
          <t>SMD</t>
        </is>
      </c>
      <c r="I35" s="31" t="inlineStr">
        <is>
          <t>AMBIGUOUS - see legend - could be swapped with R5 (91k)</t>
        </is>
      </c>
      <c r="J35" s="28" t="inlineStr">
        <is>
          <t>C106230</t>
        </is>
      </c>
    </row>
    <row r="36">
      <c r="A36" s="28" t="n">
        <v>30</v>
      </c>
      <c r="B36" s="28" t="inlineStr">
        <is>
          <t>D1</t>
        </is>
      </c>
      <c r="C36" s="28" t="n">
        <v>1</v>
      </c>
      <c r="D36" s="28" t="inlineStr">
        <is>
          <t>Littelfuse</t>
        </is>
      </c>
      <c r="E36" s="28" t="inlineStr">
        <is>
          <t>SP1005-01WTG</t>
        </is>
      </c>
      <c r="F36" s="28" t="inlineStr">
        <is>
          <t>TVS DIODE 15.6V clamp, 10A 8/20us - charger input protection</t>
        </is>
      </c>
      <c r="G36" s="28" t="inlineStr">
        <is>
          <t>0201</t>
        </is>
      </c>
      <c r="H36" s="28" t="inlineStr">
        <is>
          <t>SMD</t>
        </is>
      </c>
      <c r="I36" s="32" t="inlineStr">
        <is>
          <t>Matched to your LCSC order. Netlist footprint D0201-BI. Was omitted on the current build.</t>
        </is>
      </c>
      <c r="J36" s="28" t="inlineStr">
        <is>
          <t>C207271</t>
        </is>
      </c>
    </row>
    <row r="37">
      <c r="A37" s="28" t="n">
        <v>31</v>
      </c>
      <c r="B37" s="28" t="inlineStr">
        <is>
          <t>BT1 (3.1)</t>
        </is>
      </c>
      <c r="C37" s="28" t="n">
        <v>1</v>
      </c>
      <c r="D37" s="35" t="inlineStr"/>
      <c r="E37" s="35" t="inlineStr"/>
      <c r="F37" s="28" t="inlineStr">
        <is>
          <t>LiPo battery, single cell 3.7V nominal</t>
        </is>
      </c>
      <c r="G37" s="28" t="inlineStr">
        <is>
          <t>Custom LiPo-FP</t>
        </is>
      </c>
      <c r="H37" s="28" t="inlineStr">
        <is>
          <t>Customer supplied</t>
        </is>
      </c>
      <c r="I37" s="32" t="inlineStr">
        <is>
          <t>Netlist designator '3.1'. Confirm capacity and connector.</t>
        </is>
      </c>
      <c r="J37" s="28" t="inlineStr"/>
    </row>
    <row r="38">
      <c r="A38" s="28" t="n">
        <v>32</v>
      </c>
      <c r="B38" s="28" t="inlineStr">
        <is>
          <t>CHARGER</t>
        </is>
      </c>
      <c r="C38" s="28" t="n">
        <v>1</v>
      </c>
      <c r="D38" s="35" t="inlineStr"/>
      <c r="E38" s="35" t="inlineStr"/>
      <c r="F38" s="28" t="inlineStr">
        <is>
          <t>Magnetic charging connector</t>
        </is>
      </c>
      <c r="G38" s="28" t="inlineStr">
        <is>
          <t>Custom NeoMagFP</t>
        </is>
      </c>
      <c r="H38" s="28" t="inlineStr">
        <is>
          <t>Customer supplied</t>
        </is>
      </c>
      <c r="I38" s="32" t="inlineStr">
        <is>
          <t>Confirm exact part</t>
        </is>
      </c>
      <c r="J38" s="28" t="inlineStr"/>
    </row>
    <row r="39">
      <c r="A39" s="28" t="n">
        <v>33</v>
      </c>
      <c r="B39" s="28" t="inlineStr">
        <is>
          <t>U2, U8</t>
        </is>
      </c>
      <c r="C39" s="28" t="n">
        <v>2</v>
      </c>
      <c r="D39" s="35" t="inlineStr"/>
      <c r="E39" s="35" t="inlineStr"/>
      <c r="F39" s="28" t="inlineStr">
        <is>
          <t>Skin contact electrodes (GSR) - bare PCB pads</t>
        </is>
      </c>
      <c r="G39" s="28" t="inlineStr">
        <is>
          <t>Custom ElectrodeFP</t>
        </is>
      </c>
      <c r="H39" s="28" t="inlineStr">
        <is>
          <t>PCB feature</t>
        </is>
      </c>
      <c r="I39" s="32" t="inlineStr">
        <is>
          <t>No component to place. Specify surface finish (ENIG recommended).</t>
        </is>
      </c>
      <c r="J39" s="28" t="inlineStr"/>
    </row>
    <row r="40">
      <c r="B40" s="36" t="inlineStr">
        <is>
          <t>Total placements</t>
        </is>
      </c>
      <c r="C40" s="36">
        <f>SUM(C7:C39)</f>
        <v/>
      </c>
      <c r="D40" s="37" t="inlineStr">
        <is>
          <t>(34 placements across 33 line items)</t>
        </is>
      </c>
    </row>
    <row r="42">
      <c r="A42" s="38" t="inlineStr">
        <is>
          <t>HOW TO READ THIS BOM</t>
        </is>
      </c>
    </row>
    <row r="43">
      <c r="A43" s="32" t="inlineStr">
        <is>
          <t>RED cells: the part is NOT in your LCSC order. U3 (MAXM86161) and U5 (ANNA-B402) are the two most expensive parts on the board and neither is stocked by LCSC - source them separately or the build is blocked.</t>
        </is>
      </c>
    </row>
    <row r="44">
      <c r="A44" s="32" t="inlineStr">
        <is>
          <t>AMBIGUOUS: the LCSC order tells us which values exist, but the source netlist has no values, so which part goes in which position is inferred. Check these against your schematic before assembly.</t>
        </is>
      </c>
    </row>
    <row r="45">
      <c r="A45" s="32" t="inlineStr">
        <is>
          <t>Specifically unresolved: your order has two different 100nF 0201 parts (10V and 6.3V) for three decoupling positions; and the GSR resistor pairs (180k/470k in 0402, 91k/100k in 0201) could each be swapped.</t>
        </is>
      </c>
    </row>
    <row r="46">
      <c r="A46" s="32" t="inlineStr">
        <is>
          <t>Voltage ratings were checked, not just values. C2, C3 and C12 sit on 5V rails, so the 10V 10uF part was chosen over the 6.3V 10uF also in your order.</t>
        </is>
      </c>
    </row>
    <row r="47">
      <c r="A47" s="32" t="inlineStr">
        <is>
          <t>GSR NOTE: the front end is currently non-functional (see HANDOFF.md). R3/R4 as ordered put V_REF at 1.30V or 0.50V depending on orientation, neither near mid-rail - worth checking against the intended design while debugging.</t>
        </is>
      </c>
    </row>
    <row r="49">
      <c r="A49" s="39" t="inlineStr">
        <is>
          <t>Need a quick and accurante quote? Need an efficient production? Please read SMT Ordering Necessary Files &amp; Info in 1 minute. Thank you very much!</t>
        </is>
      </c>
    </row>
    <row r="50">
      <c r="A50" s="39" t="inlineStr">
        <is>
          <t>Click for Instructions on How to Create a BOM</t>
        </is>
      </c>
    </row>
  </sheetData>
  <mergeCells count="10">
    <mergeCell ref="A47:J47"/>
    <mergeCell ref="A45:J45"/>
    <mergeCell ref="D2:F4"/>
    <mergeCell ref="A2:B3"/>
    <mergeCell ref="A43:J43"/>
    <mergeCell ref="A44:J44"/>
    <mergeCell ref="A46:J46"/>
    <mergeCell ref="A50:J50"/>
    <mergeCell ref="A42:J42"/>
    <mergeCell ref="A49:J49"/>
  </mergeCells>
  <hyperlinks>
    <hyperlink xmlns:r="http://schemas.openxmlformats.org/officeDocument/2006/relationships" ref="A24" display="Need a quick and accurante quote? Need an efficient production? Please read SMT Ordering Necessary Files &amp; Info in 1 minute. Thank you very much!" r:id="rId1"/>
    <hyperlink xmlns:r="http://schemas.openxmlformats.org/officeDocument/2006/relationships" ref="A26" display="Click for Instructions on How to Create a BOM" r:id="rId2"/>
  </hyperlinks>
  <pageMargins left="0.699305555555556" right="0.699305555555556" top="0.75" bottom="0.75" header="0.3" footer="0.3"/>
  <pageSetup orientation="portrait" paperSize="9" horizontalDpi="200" verticalDpi="300"/>
  <drawing xmlns:r="http://schemas.openxmlformats.org/officeDocument/2006/relationships" r:id="rId3"/>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699305555555556" right="0.699305555555556" top="0.75" bottom="0.75" header="0.3" footer="0.3"/>
  <pageSetup orientation="portrait" paperSize="9" horizontalDpi="200" verticalDpi="300"/>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ColWidth="9" defaultRowHeight="13.5"/>
  <sheetData/>
  <pageMargins left="0.699305555555556" right="0.699305555555556" top="0.75" bottom="0.75" header="0.3" footer="0.3"/>
  <pageSetup orientation="portrait" paperSize="9" horizontalDpi="2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2006-09-13T11:21:00Z</dcterms:created>
  <dcterms:modified xsi:type="dcterms:W3CDTF">2026-08-25T18:39:06Z</dcterms:modified>
  <cp:lastModifiedBy>Administrator</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2052-11.1.0.9584</vt:lpwstr>
  </property>
</Properties>
</file>